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_data" sheetId="1" r:id="rId5"/>
    <sheet state="visible" name="Pivot Table 4" sheetId="2" r:id="rId6"/>
    <sheet state="visible" name="Pivot Table 3" sheetId="3" r:id="rId7"/>
    <sheet state="visible" name="Sheet1" sheetId="4" r:id="rId8"/>
    <sheet state="visible" name="Pivot Table 2" sheetId="5" r:id="rId9"/>
    <sheet state="visible" name="Pivot Table 1" sheetId="6" r:id="rId10"/>
    <sheet state="visible" name="Dashboard" sheetId="7" r:id="rId11"/>
    <sheet state="visible" name="Sheet3" sheetId="8" r:id="rId12"/>
  </sheets>
  <definedNames/>
  <calcPr/>
  <pivotCaches>
    <pivotCache cacheId="0" r:id="rId13"/>
    <pivotCache cacheId="1" r:id="rId14"/>
    <pivotCache cacheId="2" r:id="rId15"/>
  </pivotCaches>
</workbook>
</file>

<file path=xl/sharedStrings.xml><?xml version="1.0" encoding="utf-8"?>
<sst xmlns="http://schemas.openxmlformats.org/spreadsheetml/2006/main" count="177" uniqueCount="76">
  <si>
    <t> Order_ID</t>
  </si>
  <si>
    <t>Date</t>
  </si>
  <si>
    <t>Region</t>
  </si>
  <si>
    <t>Product</t>
  </si>
  <si>
    <t>Category</t>
  </si>
  <si>
    <t>Customer_ID</t>
  </si>
  <si>
    <t>Quantity</t>
  </si>
  <si>
    <t>Unit_Price</t>
  </si>
  <si>
    <t>Revenue</t>
  </si>
  <si>
    <t xml:space="preserve"> </t>
  </si>
  <si>
    <t>South</t>
  </si>
  <si>
    <t>Laptop</t>
  </si>
  <si>
    <t>Electronics</t>
  </si>
  <si>
    <t>C001</t>
  </si>
  <si>
    <t>North</t>
  </si>
  <si>
    <t>Headphones</t>
  </si>
  <si>
    <t>C002</t>
  </si>
  <si>
    <t>West</t>
  </si>
  <si>
    <t>Shoes</t>
  </si>
  <si>
    <t>Fashion</t>
  </si>
  <si>
    <t>C003</t>
  </si>
  <si>
    <t>Smartphone</t>
  </si>
  <si>
    <t>C004</t>
  </si>
  <si>
    <t>East</t>
  </si>
  <si>
    <t>Backpack</t>
  </si>
  <si>
    <t>C005</t>
  </si>
  <si>
    <t>C006</t>
  </si>
  <si>
    <t>Watch</t>
  </si>
  <si>
    <t>Accessories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</si>
  <si>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</si>
  <si>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</si>
  <si>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</si>
  <si>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</si>
  <si>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</si>
  <si>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</si>
  <si>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</si>
  <si>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</si>
  <si>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</si>
  <si>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</si>
  <si>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</si>
  <si>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</si>
  <si>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</si>
  <si>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</si>
  <si>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</si>
  <si>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</si>
  <si>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</si>
  <si>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</si>
  <si>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</si>
  <si>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</si>
  <si>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</si>
  <si>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</si>
  <si>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</si>
  <si>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</si>
  <si>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SUM of Quantity</t>
  </si>
  <si>
    <t>Grand Total</t>
  </si>
  <si>
    <t>SUM of Revenue</t>
  </si>
  <si>
    <t>BUSINESS INSIGHTS &amp; RECOMMENDATIONS</t>
  </si>
  <si>
    <t>1.Key Findings</t>
  </si>
  <si>
    <r>
      <rPr>
        <rFont val="Arial"/>
        <color theme="1"/>
        <sz val="11.0"/>
      </rPr>
      <t xml:space="preserve">Revenue Performance 
</t>
    </r>
    <r>
      <rPr>
        <rFont val="UICTFontTextStyleBody"/>
        <color theme="1"/>
        <sz val="11.0"/>
      </rPr>
      <t>The business generated ₹7,02,000 in total revenue from 30 orders, with an average order value of ₹23,400</t>
    </r>
  </si>
  <si>
    <r>
      <rPr>
        <rFont val="Arial"/>
        <color theme="1"/>
        <sz val="11.0"/>
      </rPr>
      <t xml:space="preserve">Regional Performance
</t>
    </r>
    <r>
      <rPr>
        <rFont val="UICTFontTextStyleBody"/>
        <color theme="1"/>
        <sz val="11.0"/>
      </rPr>
      <t>Revenue performance varies across regions, with some regions contributing more strongly to overall sales than others</t>
    </r>
  </si>
  <si>
    <r>
      <rPr>
        <rFont val="Arial"/>
        <color theme="1"/>
        <sz val="11.0"/>
      </rPr>
      <t xml:space="preserve">Product Performence 
</t>
    </r>
    <r>
      <rPr>
        <rFont val="UICTFontTextStyleBody"/>
        <color theme="1"/>
        <sz val="11.0"/>
      </rPr>
      <t>Revenue is distributed across six products, with some products contributing significantly more revenue than others.</t>
    </r>
  </si>
  <si>
    <r>
      <rPr>
        <rFont val="Arial"/>
        <color theme="1"/>
        <sz val="11.0"/>
      </rPr>
      <t xml:space="preserve">Monthly Trend
</t>
    </r>
    <r>
      <rPr>
        <rFont val="UICTFontTextStyleBody"/>
        <color theme="1"/>
        <sz val="11.0"/>
      </rPr>
      <t>Monthly revenue increased from January to March, showing a positive sales trend during the period.</t>
    </r>
  </si>
  <si>
    <t>2.Business Recommendations</t>
  </si>
  <si>
    <r>
      <rPr>
        <rFont val="Arial"/>
        <color theme="1"/>
        <sz val="11.0"/>
      </rPr>
      <t xml:space="preserve">Recommendation 1
</t>
    </r>
    <r>
      <rPr>
        <rFont val="UICTFontTextStyleBody"/>
        <color theme="1"/>
        <sz val="11.0"/>
      </rPr>
      <t>Focus marketing and sales efforts on the highest-performing regions while identifying ways to improve sales in lower-performing regions.</t>
    </r>
  </si>
  <si>
    <r>
      <rPr>
        <rFont val="Arial"/>
        <color theme="1"/>
        <sz val="11.0"/>
      </rPr>
      <t xml:space="preserve">Recommendation 2
</t>
    </r>
    <r>
      <rPr>
        <rFont val="UICTFontTextStyleBody"/>
        <color theme="1"/>
        <sz val="11.0"/>
      </rPr>
      <t>Prioritize high-performing products and analyze customer demand to identify opportunities for cross-selling and product expansion.</t>
    </r>
  </si>
  <si>
    <r>
      <rPr>
        <rFont val="Arial"/>
        <color theme="1"/>
        <sz val="11.0"/>
      </rPr>
      <t xml:space="preserve">Recommendation 3
</t>
    </r>
    <r>
      <rPr>
        <rFont val="UICTFontTextStyleBody"/>
        <color theme="1"/>
        <sz val="11.0"/>
      </rPr>
      <t>Investigate the reasons behind the month-to-month increase in revenue and consider continuing the strategies that contributed to the positive trend.</t>
    </r>
  </si>
  <si>
    <t>Date - Month</t>
  </si>
  <si>
    <t>Jan</t>
  </si>
  <si>
    <t>Feb</t>
  </si>
  <si>
    <t>Mar</t>
  </si>
  <si>
    <t>E-COMMERCE SALES DASHBOARD</t>
  </si>
  <si>
    <t>TOTAL REVENUE</t>
  </si>
  <si>
    <t>TOTAL QUANTITY</t>
  </si>
  <si>
    <t>TOTAL ORDERS</t>
  </si>
  <si>
    <t>AVERAGE ORDER VALUE</t>
  </si>
  <si>
    <t>7,02,000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</si>
</sst>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sz val="9.0"/>
      <color theme="1"/>
      <name val="Arial"/>
      <scheme val="minor"/>
    </font>
    <font>
      <sz val="12.0"/>
      <color theme="1"/>
      <name val="Arial"/>
      <scheme val="minor"/>
    </font>
    <font>
      <b/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4" numFmtId="0" xfId="0" applyFont="1"/>
    <xf borderId="0" fillId="0" fontId="1" numFmtId="165" xfId="0" applyFont="1" applyNumberForma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Revenue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4'!$B$1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4'!$A$2:$A$4</c:f>
            </c:strRef>
          </c:cat>
          <c:val>
            <c:numRef>
              <c:f>'Pivot Table 4'!$B$2:$B$4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3'!$A$2:$A$5</c:f>
            </c:strRef>
          </c:cat>
          <c:val>
            <c:numRef>
              <c:f>'Pivot Table 3'!$B$2:$B$5</c:f>
              <c:numCache/>
            </c:numRef>
          </c:val>
        </c:ser>
        <c:axId val="638902575"/>
        <c:axId val="998617459"/>
      </c:barChart>
      <c:catAx>
        <c:axId val="638902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617459"/>
      </c:catAx>
      <c:valAx>
        <c:axId val="998617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9025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2'!$A$2:$A$7</c:f>
            </c:strRef>
          </c:cat>
          <c:val>
            <c:numRef>
              <c:f>'Pivot Table 2'!$B$2:$B$7</c:f>
              <c:numCache/>
            </c:numRef>
          </c:val>
        </c:ser>
        <c:axId val="1841848407"/>
        <c:axId val="872703650"/>
      </c:barChart>
      <c:catAx>
        <c:axId val="1841848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2703650"/>
      </c:catAx>
      <c:valAx>
        <c:axId val="8727036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8484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2'!$A$2:$A$5</c:f>
            </c:strRef>
          </c:cat>
          <c:val>
            <c:numRef>
              <c:f>'Pivot Table 2'!$C$2:$C$5</c:f>
              <c:numCache/>
            </c:numRef>
          </c:val>
        </c:ser>
        <c:axId val="1941463339"/>
        <c:axId val="815916161"/>
      </c:barChart>
      <c:catAx>
        <c:axId val="1941463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5916161"/>
      </c:catAx>
      <c:valAx>
        <c:axId val="8159161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4633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</c:ser>
        <c:axId val="1570582742"/>
        <c:axId val="1938412714"/>
      </c:barChart>
      <c:catAx>
        <c:axId val="1570582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8412714"/>
      </c:catAx>
      <c:valAx>
        <c:axId val="1938412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05827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2'!$A$2:$A$5</c:f>
            </c:strRef>
          </c:cat>
          <c:val>
            <c:numRef>
              <c:f>'Pivot Table 2'!$C$2:$C$5</c:f>
              <c:numCache/>
            </c:numRef>
          </c:val>
        </c:ser>
        <c:axId val="1514821826"/>
        <c:axId val="899119891"/>
      </c:barChart>
      <c:catAx>
        <c:axId val="1514821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9119891"/>
      </c:catAx>
      <c:valAx>
        <c:axId val="899119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8218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</c:ser>
        <c:axId val="207592746"/>
        <c:axId val="1045784040"/>
      </c:barChart>
      <c:catAx>
        <c:axId val="207592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784040"/>
      </c:catAx>
      <c:valAx>
        <c:axId val="1045784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592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4'!$A$2:$A$4</c:f>
            </c:strRef>
          </c:cat>
          <c:val>
            <c:numRef>
              <c:f>'Pivot Table 4'!$B$2:$B$4</c:f>
              <c:numCache/>
            </c:numRef>
          </c:val>
        </c:ser>
        <c:axId val="1553576076"/>
        <c:axId val="417148363"/>
      </c:barChart>
      <c:catAx>
        <c:axId val="1553576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148363"/>
      </c:catAx>
      <c:valAx>
        <c:axId val="417148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5760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3'!$A$2:$A$5</c:f>
            </c:strRef>
          </c:cat>
          <c:val>
            <c:numRef>
              <c:f>'Pivot Table 3'!$B$2:$B$5</c:f>
              <c:numCache/>
            </c:numRef>
          </c:val>
        </c:ser>
        <c:axId val="1119854038"/>
        <c:axId val="1981726426"/>
      </c:barChart>
      <c:catAx>
        <c:axId val="1119854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1726426"/>
      </c:catAx>
      <c:valAx>
        <c:axId val="1981726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98540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</xdr:row>
      <xdr:rowOff>19050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152400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9525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23</xdr:row>
      <xdr:rowOff>28575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0</xdr:colOff>
      <xdr:row>41</xdr:row>
      <xdr:rowOff>47625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0</xdr:colOff>
      <xdr:row>59</xdr:row>
      <xdr:rowOff>66675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1" sheet="ecommerce_data"/>
  </cacheSource>
  <cacheFields>
    <cacheField name=" Ord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</sharedItems>
    </cacheField>
    <cacheField name="Date" numFmtId="164">
      <sharedItems containsSemiMixedTypes="0" containsDate="1" containsString="0">
        <d v="2026-01-03T00:00:00Z"/>
        <d v="2026-01-05T00:00:00Z"/>
        <d v="2026-01-08T00:00:00Z"/>
        <d v="2026-01-10T00:00:00Z"/>
        <d v="2026-01-12T00:00:00Z"/>
        <d v="2026-01-15T00:00:00Z"/>
        <d v="2026-01-18T00:00:00Z"/>
        <d v="2026-01-20T00:00:00Z"/>
        <d v="2026-01-23T00:00:00Z"/>
        <d v="2026-01-25T00:00:00Z"/>
        <d v="2026-02-02T00:00:00Z"/>
        <d v="2026-02-04T00:00:00Z"/>
        <d v="2026-02-07T00:00:00Z"/>
        <d v="2026-02-09T00:00:00Z"/>
        <d v="2026-02-12T00:00:00Z"/>
        <d v="2026-02-15T00:00:00Z"/>
        <d v="2026-02-18T00:00:00Z"/>
        <d v="2026-02-20T00:00:00Z"/>
        <d v="2026-02-23T00:00:00Z"/>
        <d v="2026-02-25T00:00:00Z"/>
        <d v="2026-03-02T00:00:00Z"/>
        <d v="2026-03-05T00:00:00Z"/>
        <d v="2026-03-08T00:00:00Z"/>
        <d v="2026-03-10T00:00:00Z"/>
        <d v="2026-03-13T00:00:00Z"/>
        <d v="2026-03-16T00:00:00Z"/>
        <d v="2026-03-19T00:00:00Z"/>
        <d v="2026-03-21T00:00:00Z"/>
        <d v="2026-03-24T00:00:00Z"/>
        <d v="2026-03-27T00:00:00Z"/>
      </sharedItems>
    </cacheField>
    <cacheField name="Region" numFmtId="0">
      <sharedItems>
        <s v="South"/>
        <s v="North"/>
        <s v="West"/>
        <s v="East"/>
      </sharedItems>
    </cacheField>
    <cacheField name="Product" numFmtId="0">
      <sharedItems>
        <s v="Laptop"/>
        <s v="Headphones"/>
        <s v="Shoes"/>
        <s v="Smartphone"/>
        <s v="Backpack"/>
        <s v="Watch"/>
      </sharedItems>
    </cacheField>
    <cacheField name="Category" numFmtId="0">
      <sharedItems>
        <s v="Electronics"/>
        <s v="Fashion"/>
        <s v="Accessories"/>
      </sharedItems>
    </cacheField>
    <cacheField name="Customer_ID" numFmtId="0">
      <sharedItems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</sharedItems>
    </cacheField>
    <cacheField name="Quantity" numFmtId="0">
      <sharedItems containsSemiMixedTypes="0" containsString="0" containsNumber="1" containsInteger="1">
        <n v="1.0"/>
        <n v="2.0"/>
        <n v="3.0"/>
      </sharedItems>
    </cacheField>
    <cacheField name="Unit_Price" numFmtId="0">
      <sharedItems containsSemiMixedTypes="0" containsString="0" containsNumber="1" containsInteger="1">
        <n v="55000.0"/>
        <n v="2500.0"/>
        <n v="3500.0"/>
        <n v="30000.0"/>
        <n v="1800.0"/>
        <n v="4500.0"/>
      </sharedItems>
    </cacheField>
    <cacheField name="Revenue" numFmtId="0">
      <sharedItems containsSemiMixedTypes="0" containsString="0" containsNumber="1" containsInteger="1">
        <n v="55000.0"/>
        <n v="5000.0"/>
        <n v="3500.0"/>
        <n v="30000.0"/>
        <n v="3600.0"/>
        <n v="4500.0"/>
        <n v="7500.0"/>
        <n v="7000.0"/>
        <n v="9000.0"/>
        <n v="1800.0"/>
        <n v="110000.0"/>
        <n v="60000.0"/>
        <n v="2500.0"/>
        <n v="1050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31" sheet="ecommerce_data"/>
  </cacheSource>
  <cacheFields>
    <cacheField name=" Ord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</sharedItems>
    </cacheField>
    <cacheField name="Date" numFmtId="164">
      <sharedItems containsSemiMixedTypes="0" containsDate="1" containsString="0">
        <d v="2026-01-03T00:00:00Z"/>
        <d v="2026-01-05T00:00:00Z"/>
        <d v="2026-01-08T00:00:00Z"/>
        <d v="2026-01-10T00:00:00Z"/>
        <d v="2026-01-12T00:00:00Z"/>
        <d v="2026-01-15T00:00:00Z"/>
        <d v="2026-01-18T00:00:00Z"/>
        <d v="2026-01-20T00:00:00Z"/>
        <d v="2026-01-23T00:00:00Z"/>
        <d v="2026-01-25T00:00:00Z"/>
        <d v="2026-02-02T00:00:00Z"/>
        <d v="2026-02-04T00:00:00Z"/>
        <d v="2026-02-07T00:00:00Z"/>
        <d v="2026-02-09T00:00:00Z"/>
        <d v="2026-02-12T00:00:00Z"/>
        <d v="2026-02-15T00:00:00Z"/>
        <d v="2026-02-18T00:00:00Z"/>
        <d v="2026-02-20T00:00:00Z"/>
        <d v="2026-02-23T00:00:00Z"/>
        <d v="2026-02-25T00:00:00Z"/>
        <d v="2026-03-02T00:00:00Z"/>
        <d v="2026-03-05T00:00:00Z"/>
        <d v="2026-03-08T00:00:00Z"/>
        <d v="2026-03-10T00:00:00Z"/>
        <d v="2026-03-13T00:00:00Z"/>
        <d v="2026-03-16T00:00:00Z"/>
        <d v="2026-03-19T00:00:00Z"/>
        <d v="2026-03-21T00:00:00Z"/>
        <d v="2026-03-24T00:00:00Z"/>
        <d v="2026-03-27T00:00:00Z"/>
      </sharedItems>
    </cacheField>
    <cacheField name="Region" numFmtId="0">
      <sharedItems>
        <s v="South"/>
        <s v="North"/>
        <s v="West"/>
        <s v="East"/>
      </sharedItems>
    </cacheField>
    <cacheField name="Product" numFmtId="0">
      <sharedItems>
        <s v="Laptop"/>
        <s v="Headphones"/>
        <s v="Shoes"/>
        <s v="Smartphone"/>
        <s v="Backpack"/>
        <s v="Watch"/>
      </sharedItems>
    </cacheField>
    <cacheField name="Category" numFmtId="0">
      <sharedItems>
        <s v="Electronics"/>
        <s v="Fashion"/>
        <s v="Accessories"/>
      </sharedItems>
    </cacheField>
    <cacheField name="Customer_ID" numFmtId="0">
      <sharedItems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</sharedItems>
    </cacheField>
    <cacheField name="Quantity" numFmtId="0">
      <sharedItems containsSemiMixedTypes="0" containsString="0" containsNumber="1" containsInteger="1">
        <n v="1.0"/>
        <n v="2.0"/>
        <n v="3.0"/>
      </sharedItems>
    </cacheField>
    <cacheField name="Unit_Price" numFmtId="0">
      <sharedItems containsSemiMixedTypes="0" containsString="0" containsNumber="1" containsInteger="1">
        <n v="55000.0"/>
        <n v="2500.0"/>
        <n v="3500.0"/>
        <n v="30000.0"/>
        <n v="1800.0"/>
        <n v="4500.0"/>
      </sharedItems>
    </cacheField>
    <cacheField name="Revenue" numFmtId="0">
      <sharedItems containsSemiMixedTypes="0" containsString="0" containsNumber="1" containsInteger="1">
        <n v="55000.0"/>
        <n v="5000.0"/>
        <n v="3500.0"/>
        <n v="30000.0"/>
        <n v="3600.0"/>
        <n v="4500.0"/>
        <n v="7500.0"/>
        <n v="7000.0"/>
        <n v="9000.0"/>
        <n v="1800.0"/>
        <n v="110000.0"/>
        <n v="60000.0"/>
        <n v="2500.0"/>
        <n v="10500.0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1" sheet="ecommerce_data"/>
  </cacheSource>
  <cacheFields>
    <cacheField name=" Ord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</sharedItems>
    </cacheField>
    <cacheField name="Date" numFmtId="164">
      <sharedItems containsSemiMixedTypes="0" containsNonDate="0" containsDate="1" containsString="0">
        <d v="2026-01-03T00:00:00Z"/>
        <d v="2026-01-05T00:00:00Z"/>
        <d v="2026-01-08T00:00:00Z"/>
        <d v="2026-01-10T00:00:00Z"/>
        <d v="2026-01-12T00:00:00Z"/>
        <d v="2026-01-15T00:00:00Z"/>
        <d v="2026-01-18T00:00:00Z"/>
        <d v="2026-01-20T00:00:00Z"/>
        <d v="2026-01-23T00:00:00Z"/>
        <d v="2026-01-25T00:00:00Z"/>
        <d v="2026-02-02T00:00:00Z"/>
        <d v="2026-02-04T00:00:00Z"/>
        <d v="2026-02-07T00:00:00Z"/>
        <d v="2026-02-09T00:00:00Z"/>
        <d v="2026-02-12T00:00:00Z"/>
        <d v="2026-02-15T00:00:00Z"/>
        <d v="2026-02-18T00:00:00Z"/>
        <d v="2026-02-20T00:00:00Z"/>
        <d v="2026-02-23T00:00:00Z"/>
        <d v="2026-02-25T00:00:00Z"/>
        <d v="2026-03-02T00:00:00Z"/>
        <d v="2026-03-05T00:00:00Z"/>
        <d v="2026-03-08T00:00:00Z"/>
        <d v="2026-03-10T00:00:00Z"/>
        <d v="2026-03-13T00:00:00Z"/>
        <d v="2026-03-16T00:00:00Z"/>
        <d v="2026-03-19T00:00:00Z"/>
        <d v="2026-03-21T00:00:00Z"/>
        <d v="2026-03-24T00:00:00Z"/>
        <d v="2026-03-27T00:00:00Z"/>
      </sharedItems>
      <fieldGroup par="9"/>
    </cacheField>
    <cacheField name="Region" numFmtId="0">
      <sharedItems>
        <s v="South"/>
        <s v="North"/>
        <s v="West"/>
        <s v="East"/>
      </sharedItems>
    </cacheField>
    <cacheField name="Product" numFmtId="0">
      <sharedItems>
        <s v="Laptop"/>
        <s v="Headphones"/>
        <s v="Shoes"/>
        <s v="Smartphone"/>
        <s v="Backpack"/>
        <s v="Watch"/>
      </sharedItems>
    </cacheField>
    <cacheField name="Category" numFmtId="0">
      <sharedItems>
        <s v="Electronics"/>
        <s v="Fashion"/>
        <s v="Accessories"/>
      </sharedItems>
    </cacheField>
    <cacheField name="Customer_ID" numFmtId="0">
      <sharedItems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</sharedItems>
    </cacheField>
    <cacheField name="Quantity" numFmtId="0">
      <sharedItems containsSemiMixedTypes="0" containsString="0" containsNumber="1" containsInteger="1">
        <n v="1.0"/>
        <n v="2.0"/>
        <n v="3.0"/>
      </sharedItems>
    </cacheField>
    <cacheField name="Unit_Price" numFmtId="0">
      <sharedItems containsSemiMixedTypes="0" containsString="0" containsNumber="1" containsInteger="1">
        <n v="55000.0"/>
        <n v="2500.0"/>
        <n v="3500.0"/>
        <n v="30000.0"/>
        <n v="1800.0"/>
        <n v="4500.0"/>
      </sharedItems>
    </cacheField>
    <cacheField name="Revenue" numFmtId="0">
      <sharedItems containsSemiMixedTypes="0" containsString="0" containsNumber="1" containsInteger="1">
        <n v="55000.0"/>
        <n v="5000.0"/>
        <n v="3500.0"/>
        <n v="30000.0"/>
        <n v="3600.0"/>
        <n v="4500.0"/>
        <n v="7500.0"/>
        <n v="7000.0"/>
        <n v="9000.0"/>
        <n v="1800.0"/>
        <n v="110000.0"/>
        <n v="60000.0"/>
        <n v="2500.0"/>
        <n v="10500.0"/>
      </sharedItems>
    </cacheField>
    <cacheField name="date2" databaseField="0">
      <fieldGroup base="1">
        <rangePr autoStart="0" autoEnd="0" groupBy="months" startDate="2026-01-03T00:00:00Z" endDate="2026-03-28T00:00:00Z"/>
        <groupItems>
          <s v="&lt;01/03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/28/26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4" cacheId="2" dataCaption="" compact="0" compactData="0">
  <location ref="A1:B5" firstHeaderRow="0" firstDataRow="1" firstDataCol="0"/>
  <pivotFields>
    <pivotField name=" 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ate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9"/>
  </rowFields>
  <dataFields>
    <dataField name="SUM of Revenue" fld="8" baseField="0"/>
  </dataFields>
</pivotTableDefinition>
</file>

<file path=xl/pivotTables/pivotTable2.xml><?xml version="1.0" encoding="utf-8"?>
<pivotTableDefinition xmlns="http://schemas.openxmlformats.org/spreadsheetml/2006/main" name="Pivot Table 3" cacheId="0" dataCaption="" compact="0" compactData="0">
  <location ref="A1:B6" firstHeaderRow="0" firstDataRow="1" firstDataCol="0"/>
  <pivotFields>
    <pivotField name=" 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gion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Quantity" dataField="1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2"/>
  </rowFields>
  <dataFields>
    <dataField name="SUM of Quantity" fld="6" baseField="0"/>
  </dataFields>
</pivotTableDefinition>
</file>

<file path=xl/pivotTables/pivotTable3.xml><?xml version="1.0" encoding="utf-8"?>
<pivotTableDefinition xmlns="http://schemas.openxmlformats.org/spreadsheetml/2006/main" name="Pivot Table 2" cacheId="0" dataCaption="" compact="0" compactData="0">
  <location ref="A1:C6" firstHeaderRow="0" firstDataRow="2" firstDataCol="0"/>
  <pivotFields>
    <pivotField name=" 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gion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Quantity" dataField="1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2"/>
  </rowFields>
  <colFields>
    <field x="-2"/>
  </colFields>
  <dataFields>
    <dataField name="SUM of Quantity" fld="6" baseField="0"/>
    <dataField name="SUM of Revenue" fld="8" baseField="0"/>
  </dataFields>
</pivotTableDefinition>
</file>

<file path=xl/pivotTables/pivotTable4.xml><?xml version="1.0" encoding="utf-8"?>
<pivotTableDefinition xmlns="http://schemas.openxmlformats.org/spreadsheetml/2006/main" name="Pivot Table 1" cacheId="1" dataCaption="" compact="0" compactData="0">
  <location ref="A1:B8" firstHeaderRow="0" firstDataRow="1" firstDataCol="0"/>
  <pivotFields>
    <pivotField name=" 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axis="axisRow" compact="0" outline="0" multipleItemSelectionAllowed="1" showAll="0" sortType="ascending">
      <items>
        <item x="4"/>
        <item x="1"/>
        <item x="0"/>
        <item x="2"/>
        <item x="3"/>
        <item x="5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3"/>
  </rowFields>
  <dataFields>
    <dataField name="SUM of Revenu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1">
        <v>1.0</v>
      </c>
      <c r="B2" s="3">
        <v>46025.0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1.0</v>
      </c>
      <c r="H2" s="1">
        <v>55000.0</v>
      </c>
      <c r="I2" s="2">
        <f t="shared" ref="I2:I31" si="1">G2*H2</f>
        <v>55000</v>
      </c>
    </row>
    <row r="3">
      <c r="A3" s="1">
        <v>2.0</v>
      </c>
      <c r="B3" s="3">
        <v>46027.0</v>
      </c>
      <c r="C3" s="1" t="s">
        <v>14</v>
      </c>
      <c r="D3" s="1" t="s">
        <v>15</v>
      </c>
      <c r="E3" s="1" t="s">
        <v>12</v>
      </c>
      <c r="F3" s="1" t="s">
        <v>16</v>
      </c>
      <c r="G3" s="1">
        <v>2.0</v>
      </c>
      <c r="H3" s="1">
        <v>2500.0</v>
      </c>
      <c r="I3" s="2">
        <f t="shared" si="1"/>
        <v>5000</v>
      </c>
    </row>
    <row r="4">
      <c r="A4" s="1">
        <v>3.0</v>
      </c>
      <c r="B4" s="3">
        <v>46030.0</v>
      </c>
      <c r="C4" s="1" t="s">
        <v>17</v>
      </c>
      <c r="D4" s="1" t="s">
        <v>18</v>
      </c>
      <c r="E4" s="1" t="s">
        <v>19</v>
      </c>
      <c r="F4" s="1" t="s">
        <v>20</v>
      </c>
      <c r="G4" s="1">
        <v>1.0</v>
      </c>
      <c r="H4" s="1">
        <v>3500.0</v>
      </c>
      <c r="I4" s="2">
        <f t="shared" si="1"/>
        <v>3500</v>
      </c>
    </row>
    <row r="5">
      <c r="A5" s="1">
        <v>4.0</v>
      </c>
      <c r="B5" s="3">
        <v>46032.0</v>
      </c>
      <c r="C5" s="1" t="s">
        <v>10</v>
      </c>
      <c r="D5" s="1" t="s">
        <v>21</v>
      </c>
      <c r="E5" s="1" t="s">
        <v>12</v>
      </c>
      <c r="F5" s="1" t="s">
        <v>22</v>
      </c>
      <c r="G5" s="1">
        <v>1.0</v>
      </c>
      <c r="H5" s="1">
        <v>30000.0</v>
      </c>
      <c r="I5" s="2">
        <f t="shared" si="1"/>
        <v>30000</v>
      </c>
    </row>
    <row r="6">
      <c r="A6" s="1">
        <v>5.0</v>
      </c>
      <c r="B6" s="3">
        <v>46034.0</v>
      </c>
      <c r="C6" s="1" t="s">
        <v>23</v>
      </c>
      <c r="D6" s="1" t="s">
        <v>24</v>
      </c>
      <c r="E6" s="1" t="s">
        <v>19</v>
      </c>
      <c r="F6" s="1" t="s">
        <v>25</v>
      </c>
      <c r="G6" s="1">
        <v>2.0</v>
      </c>
      <c r="H6" s="1">
        <v>1800.0</v>
      </c>
      <c r="I6" s="2">
        <f t="shared" si="1"/>
        <v>3600</v>
      </c>
    </row>
    <row r="7">
      <c r="A7" s="1">
        <v>6.0</v>
      </c>
      <c r="B7" s="3">
        <v>46037.0</v>
      </c>
      <c r="C7" s="1" t="s">
        <v>10</v>
      </c>
      <c r="D7" s="1" t="s">
        <v>11</v>
      </c>
      <c r="E7" s="1" t="s">
        <v>12</v>
      </c>
      <c r="F7" s="1" t="s">
        <v>26</v>
      </c>
      <c r="G7" s="1">
        <v>1.0</v>
      </c>
      <c r="H7" s="1">
        <v>55000.0</v>
      </c>
      <c r="I7" s="2">
        <f t="shared" si="1"/>
        <v>55000</v>
      </c>
    </row>
    <row r="8">
      <c r="A8" s="1">
        <v>7.0</v>
      </c>
      <c r="B8" s="3">
        <v>46040.0</v>
      </c>
      <c r="C8" s="1" t="s">
        <v>14</v>
      </c>
      <c r="D8" s="1" t="s">
        <v>27</v>
      </c>
      <c r="E8" s="1" t="s">
        <v>28</v>
      </c>
      <c r="F8" s="1" t="s">
        <v>29</v>
      </c>
      <c r="G8" s="1">
        <v>1.0</v>
      </c>
      <c r="H8" s="1">
        <v>4500.0</v>
      </c>
      <c r="I8" s="2">
        <f t="shared" si="1"/>
        <v>4500</v>
      </c>
    </row>
    <row r="9">
      <c r="A9" s="1">
        <v>8.0</v>
      </c>
      <c r="B9" s="3">
        <v>46042.0</v>
      </c>
      <c r="C9" s="1" t="s">
        <v>17</v>
      </c>
      <c r="D9" s="1" t="s">
        <v>15</v>
      </c>
      <c r="E9" s="1" t="s">
        <v>12</v>
      </c>
      <c r="F9" s="1" t="s">
        <v>30</v>
      </c>
      <c r="G9" s="1">
        <v>3.0</v>
      </c>
      <c r="H9" s="1">
        <v>2500.0</v>
      </c>
      <c r="I9" s="2">
        <f t="shared" si="1"/>
        <v>7500</v>
      </c>
    </row>
    <row r="10">
      <c r="A10" s="1">
        <v>9.0</v>
      </c>
      <c r="B10" s="3">
        <v>46045.0</v>
      </c>
      <c r="C10" s="1" t="s">
        <v>23</v>
      </c>
      <c r="D10" s="1" t="s">
        <v>18</v>
      </c>
      <c r="E10" s="1" t="s">
        <v>19</v>
      </c>
      <c r="F10" s="1" t="s">
        <v>31</v>
      </c>
      <c r="G10" s="1">
        <v>2.0</v>
      </c>
      <c r="H10" s="1">
        <v>3500.0</v>
      </c>
      <c r="I10" s="2">
        <f t="shared" si="1"/>
        <v>7000</v>
      </c>
    </row>
    <row r="11">
      <c r="A11" s="1">
        <v>10.0</v>
      </c>
      <c r="B11" s="3">
        <v>46047.0</v>
      </c>
      <c r="C11" s="1" t="s">
        <v>10</v>
      </c>
      <c r="D11" s="1" t="s">
        <v>21</v>
      </c>
      <c r="E11" s="1" t="s">
        <v>12</v>
      </c>
      <c r="F11" s="1" t="s">
        <v>32</v>
      </c>
      <c r="G11" s="1">
        <v>1.0</v>
      </c>
      <c r="H11" s="1">
        <v>30000.0</v>
      </c>
      <c r="I11" s="2">
        <f t="shared" si="1"/>
        <v>30000</v>
      </c>
    </row>
    <row r="12">
      <c r="A12" s="1">
        <v>11.0</v>
      </c>
      <c r="B12" s="3">
        <v>46055.0</v>
      </c>
      <c r="C12" s="1" t="s">
        <v>14</v>
      </c>
      <c r="D12" s="1" t="s">
        <v>11</v>
      </c>
      <c r="E12" s="1" t="s">
        <v>12</v>
      </c>
      <c r="F12" s="1" t="s">
        <v>33</v>
      </c>
      <c r="G12" s="1">
        <v>1.0</v>
      </c>
      <c r="H12" s="1">
        <v>55000.0</v>
      </c>
      <c r="I12" s="2">
        <f t="shared" si="1"/>
        <v>55000</v>
      </c>
    </row>
    <row r="13">
      <c r="A13" s="1">
        <v>12.0</v>
      </c>
      <c r="B13" s="3">
        <v>46057.0</v>
      </c>
      <c r="C13" s="1" t="s">
        <v>10</v>
      </c>
      <c r="D13" s="1" t="s">
        <v>15</v>
      </c>
      <c r="E13" s="1" t="s">
        <v>12</v>
      </c>
      <c r="F13" s="1" t="s">
        <v>34</v>
      </c>
      <c r="G13" s="1">
        <v>2.0</v>
      </c>
      <c r="H13" s="1">
        <v>2500.0</v>
      </c>
      <c r="I13" s="2">
        <f t="shared" si="1"/>
        <v>5000</v>
      </c>
    </row>
    <row r="14">
      <c r="A14" s="1">
        <v>13.0</v>
      </c>
      <c r="B14" s="3">
        <v>46060.0</v>
      </c>
      <c r="C14" s="1" t="s">
        <v>23</v>
      </c>
      <c r="D14" s="1" t="s">
        <v>27</v>
      </c>
      <c r="E14" s="1" t="s">
        <v>28</v>
      </c>
      <c r="F14" s="1" t="s">
        <v>35</v>
      </c>
      <c r="G14" s="1">
        <v>2.0</v>
      </c>
      <c r="H14" s="1">
        <v>4500.0</v>
      </c>
      <c r="I14" s="2">
        <f t="shared" si="1"/>
        <v>9000</v>
      </c>
    </row>
    <row r="15">
      <c r="A15" s="1">
        <v>14.0</v>
      </c>
      <c r="B15" s="3">
        <v>46062.0</v>
      </c>
      <c r="C15" s="1" t="s">
        <v>17</v>
      </c>
      <c r="D15" s="1" t="s">
        <v>24</v>
      </c>
      <c r="E15" s="1" t="s">
        <v>19</v>
      </c>
      <c r="F15" s="1" t="s">
        <v>36</v>
      </c>
      <c r="G15" s="1">
        <v>1.0</v>
      </c>
      <c r="H15" s="1">
        <v>1800.0</v>
      </c>
      <c r="I15" s="2">
        <f t="shared" si="1"/>
        <v>1800</v>
      </c>
    </row>
    <row r="16">
      <c r="A16" s="1">
        <v>15.0</v>
      </c>
      <c r="B16" s="3">
        <v>46065.0</v>
      </c>
      <c r="C16" s="1" t="s">
        <v>10</v>
      </c>
      <c r="D16" s="1" t="s">
        <v>18</v>
      </c>
      <c r="E16" s="1" t="s">
        <v>19</v>
      </c>
      <c r="F16" s="1" t="s">
        <v>37</v>
      </c>
      <c r="G16" s="1">
        <v>2.0</v>
      </c>
      <c r="H16" s="1">
        <v>3500.0</v>
      </c>
      <c r="I16" s="2">
        <f t="shared" si="1"/>
        <v>7000</v>
      </c>
    </row>
    <row r="17">
      <c r="A17" s="1">
        <v>16.0</v>
      </c>
      <c r="B17" s="3">
        <v>46068.0</v>
      </c>
      <c r="C17" s="1" t="s">
        <v>14</v>
      </c>
      <c r="D17" s="1" t="s">
        <v>21</v>
      </c>
      <c r="E17" s="1" t="s">
        <v>12</v>
      </c>
      <c r="F17" s="1" t="s">
        <v>38</v>
      </c>
      <c r="G17" s="1">
        <v>1.0</v>
      </c>
      <c r="H17" s="1">
        <v>30000.0</v>
      </c>
      <c r="I17" s="2">
        <f t="shared" si="1"/>
        <v>30000</v>
      </c>
    </row>
    <row r="18">
      <c r="A18" s="1">
        <v>17.0</v>
      </c>
      <c r="B18" s="3">
        <v>46071.0</v>
      </c>
      <c r="C18" s="1" t="s">
        <v>10</v>
      </c>
      <c r="D18" s="1" t="s">
        <v>11</v>
      </c>
      <c r="E18" s="1" t="s">
        <v>12</v>
      </c>
      <c r="F18" s="1" t="s">
        <v>39</v>
      </c>
      <c r="G18" s="1">
        <v>2.0</v>
      </c>
      <c r="H18" s="1">
        <v>55000.0</v>
      </c>
      <c r="I18" s="2">
        <f t="shared" si="1"/>
        <v>110000</v>
      </c>
    </row>
    <row r="19">
      <c r="A19" s="1">
        <v>18.0</v>
      </c>
      <c r="B19" s="3">
        <v>46073.0</v>
      </c>
      <c r="C19" s="1" t="s">
        <v>23</v>
      </c>
      <c r="D19" s="1" t="s">
        <v>15</v>
      </c>
      <c r="E19" s="1" t="s">
        <v>12</v>
      </c>
      <c r="F19" s="1" t="s">
        <v>40</v>
      </c>
      <c r="G19" s="1">
        <v>2.0</v>
      </c>
      <c r="H19" s="1">
        <v>2500.0</v>
      </c>
      <c r="I19" s="2">
        <f t="shared" si="1"/>
        <v>5000</v>
      </c>
    </row>
    <row r="20">
      <c r="A20" s="1">
        <v>19.0</v>
      </c>
      <c r="B20" s="3">
        <v>46076.0</v>
      </c>
      <c r="C20" s="1" t="s">
        <v>17</v>
      </c>
      <c r="D20" s="1" t="s">
        <v>27</v>
      </c>
      <c r="E20" s="1" t="s">
        <v>28</v>
      </c>
      <c r="F20" s="1" t="s">
        <v>41</v>
      </c>
      <c r="G20" s="1">
        <v>1.0</v>
      </c>
      <c r="H20" s="1">
        <v>4500.0</v>
      </c>
      <c r="I20" s="2">
        <f t="shared" si="1"/>
        <v>4500</v>
      </c>
    </row>
    <row r="21">
      <c r="A21" s="1">
        <v>20.0</v>
      </c>
      <c r="B21" s="3">
        <v>46078.0</v>
      </c>
      <c r="C21" s="1" t="s">
        <v>14</v>
      </c>
      <c r="D21" s="1" t="s">
        <v>18</v>
      </c>
      <c r="E21" s="1" t="s">
        <v>19</v>
      </c>
      <c r="F21" s="1" t="s">
        <v>42</v>
      </c>
      <c r="G21" s="1">
        <v>1.0</v>
      </c>
      <c r="H21" s="1">
        <v>3500.0</v>
      </c>
      <c r="I21" s="2">
        <f t="shared" si="1"/>
        <v>3500</v>
      </c>
    </row>
    <row r="22">
      <c r="A22" s="1">
        <v>21.0</v>
      </c>
      <c r="B22" s="3">
        <v>46083.0</v>
      </c>
      <c r="C22" s="1" t="s">
        <v>10</v>
      </c>
      <c r="D22" s="1" t="s">
        <v>21</v>
      </c>
      <c r="E22" s="1" t="s">
        <v>12</v>
      </c>
      <c r="F22" s="1" t="s">
        <v>43</v>
      </c>
      <c r="G22" s="1">
        <v>2.0</v>
      </c>
      <c r="H22" s="1">
        <v>30000.0</v>
      </c>
      <c r="I22" s="2">
        <f t="shared" si="1"/>
        <v>60000</v>
      </c>
    </row>
    <row r="23">
      <c r="A23" s="1">
        <v>22.0</v>
      </c>
      <c r="B23" s="3">
        <v>46086.0</v>
      </c>
      <c r="C23" s="1" t="s">
        <v>23</v>
      </c>
      <c r="D23" s="1" t="s">
        <v>11</v>
      </c>
      <c r="E23" s="1" t="s">
        <v>12</v>
      </c>
      <c r="F23" s="1" t="s">
        <v>44</v>
      </c>
      <c r="G23" s="1">
        <v>1.0</v>
      </c>
      <c r="H23" s="1">
        <v>55000.0</v>
      </c>
      <c r="I23" s="2">
        <f t="shared" si="1"/>
        <v>55000</v>
      </c>
    </row>
    <row r="24">
      <c r="A24" s="1">
        <v>23.0</v>
      </c>
      <c r="B24" s="3">
        <v>46089.0</v>
      </c>
      <c r="C24" s="1" t="s">
        <v>14</v>
      </c>
      <c r="D24" s="1" t="s">
        <v>15</v>
      </c>
      <c r="E24" s="1" t="s">
        <v>12</v>
      </c>
      <c r="F24" s="1" t="s">
        <v>45</v>
      </c>
      <c r="G24" s="1">
        <v>3.0</v>
      </c>
      <c r="H24" s="1">
        <v>2500.0</v>
      </c>
      <c r="I24" s="2">
        <f t="shared" si="1"/>
        <v>7500</v>
      </c>
    </row>
    <row r="25">
      <c r="A25" s="1">
        <v>24.0</v>
      </c>
      <c r="B25" s="3">
        <v>46091.0</v>
      </c>
      <c r="C25" s="1" t="s">
        <v>17</v>
      </c>
      <c r="D25" s="1" t="s">
        <v>18</v>
      </c>
      <c r="E25" s="1" t="s">
        <v>19</v>
      </c>
      <c r="F25" s="1" t="s">
        <v>46</v>
      </c>
      <c r="G25" s="1">
        <v>2.0</v>
      </c>
      <c r="H25" s="1">
        <v>3500.0</v>
      </c>
      <c r="I25" s="2">
        <f t="shared" si="1"/>
        <v>7000</v>
      </c>
    </row>
    <row r="26">
      <c r="A26" s="1">
        <v>25.0</v>
      </c>
      <c r="B26" s="3">
        <v>46094.0</v>
      </c>
      <c r="C26" s="1" t="s">
        <v>10</v>
      </c>
      <c r="D26" s="1" t="s">
        <v>27</v>
      </c>
      <c r="E26" s="1" t="s">
        <v>28</v>
      </c>
      <c r="F26" s="1" t="s">
        <v>47</v>
      </c>
      <c r="G26" s="1">
        <v>2.0</v>
      </c>
      <c r="H26" s="1">
        <v>4500.0</v>
      </c>
      <c r="I26" s="2">
        <f t="shared" si="1"/>
        <v>9000</v>
      </c>
    </row>
    <row r="27">
      <c r="A27" s="1">
        <v>26.0</v>
      </c>
      <c r="B27" s="3">
        <v>46097.0</v>
      </c>
      <c r="C27" s="1" t="s">
        <v>23</v>
      </c>
      <c r="D27" s="1" t="s">
        <v>24</v>
      </c>
      <c r="E27" s="1" t="s">
        <v>19</v>
      </c>
      <c r="F27" s="1" t="s">
        <v>48</v>
      </c>
      <c r="G27" s="1">
        <v>2.0</v>
      </c>
      <c r="H27" s="1">
        <v>1800.0</v>
      </c>
      <c r="I27" s="2">
        <f t="shared" si="1"/>
        <v>3600</v>
      </c>
    </row>
    <row r="28">
      <c r="A28" s="1">
        <v>27.0</v>
      </c>
      <c r="B28" s="3">
        <v>46100.0</v>
      </c>
      <c r="C28" s="1" t="s">
        <v>10</v>
      </c>
      <c r="D28" s="1" t="s">
        <v>11</v>
      </c>
      <c r="E28" s="1" t="s">
        <v>12</v>
      </c>
      <c r="F28" s="1" t="s">
        <v>49</v>
      </c>
      <c r="G28" s="1">
        <v>1.0</v>
      </c>
      <c r="H28" s="1">
        <v>55000.0</v>
      </c>
      <c r="I28" s="2">
        <f t="shared" si="1"/>
        <v>55000</v>
      </c>
    </row>
    <row r="29">
      <c r="A29" s="1">
        <v>28.0</v>
      </c>
      <c r="B29" s="3">
        <v>46102.0</v>
      </c>
      <c r="C29" s="1" t="s">
        <v>14</v>
      </c>
      <c r="D29" s="1" t="s">
        <v>21</v>
      </c>
      <c r="E29" s="1" t="s">
        <v>12</v>
      </c>
      <c r="F29" s="1" t="s">
        <v>50</v>
      </c>
      <c r="G29" s="1">
        <v>2.0</v>
      </c>
      <c r="H29" s="1">
        <v>30000.0</v>
      </c>
      <c r="I29" s="2">
        <f t="shared" si="1"/>
        <v>60000</v>
      </c>
    </row>
    <row r="30">
      <c r="A30" s="1">
        <v>29.0</v>
      </c>
      <c r="B30" s="3">
        <v>46105.0</v>
      </c>
      <c r="C30" s="1" t="s">
        <v>17</v>
      </c>
      <c r="D30" s="1" t="s">
        <v>15</v>
      </c>
      <c r="E30" s="1" t="s">
        <v>12</v>
      </c>
      <c r="F30" s="1" t="s">
        <v>51</v>
      </c>
      <c r="G30" s="1">
        <v>1.0</v>
      </c>
      <c r="H30" s="1">
        <v>2500.0</v>
      </c>
      <c r="I30" s="2">
        <f t="shared" si="1"/>
        <v>2500</v>
      </c>
    </row>
    <row r="31">
      <c r="A31" s="1">
        <v>30.0</v>
      </c>
      <c r="B31" s="3">
        <v>46108.0</v>
      </c>
      <c r="C31" s="1" t="s">
        <v>10</v>
      </c>
      <c r="D31" s="1" t="s">
        <v>18</v>
      </c>
      <c r="E31" s="1" t="s">
        <v>19</v>
      </c>
      <c r="F31" s="1" t="s">
        <v>52</v>
      </c>
      <c r="G31" s="1">
        <v>3.0</v>
      </c>
      <c r="H31" s="1">
        <v>3500.0</v>
      </c>
      <c r="I31" s="2">
        <f t="shared" si="1"/>
        <v>10500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70</v>
      </c>
    </row>
    <row r="3">
      <c r="A3" s="11" t="s">
        <v>71</v>
      </c>
      <c r="C3" s="11" t="s">
        <v>72</v>
      </c>
      <c r="E3" s="11" t="s">
        <v>73</v>
      </c>
      <c r="G3" s="11" t="s">
        <v>74</v>
      </c>
    </row>
    <row r="4">
      <c r="A4" s="11" t="s">
        <v>75</v>
      </c>
      <c r="C4" s="11">
        <v>49.0</v>
      </c>
      <c r="E4" s="12">
        <f>COUNTA(ecommerce_data!A2:A1000)</f>
        <v>30</v>
      </c>
      <c r="G4" s="13">
        <v>23400.0</v>
      </c>
    </row>
    <row r="7">
      <c r="A7" s="1" t="s">
        <v>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56</v>
      </c>
    </row>
    <row r="3">
      <c r="A3" s="5" t="s">
        <v>57</v>
      </c>
    </row>
    <row r="4">
      <c r="A4" s="6" t="s">
        <v>58</v>
      </c>
    </row>
    <row r="5">
      <c r="A5" s="6" t="s">
        <v>59</v>
      </c>
    </row>
    <row r="6">
      <c r="A6" s="6" t="s">
        <v>60</v>
      </c>
    </row>
    <row r="7">
      <c r="A7" s="6" t="s">
        <v>61</v>
      </c>
      <c r="F7" s="7"/>
    </row>
    <row r="9">
      <c r="A9" s="5" t="s">
        <v>62</v>
      </c>
      <c r="B9" s="8"/>
    </row>
    <row r="10">
      <c r="A10" s="6" t="s">
        <v>63</v>
      </c>
    </row>
    <row r="11">
      <c r="A11" s="6" t="s">
        <v>64</v>
      </c>
    </row>
    <row r="12">
      <c r="A12" s="6" t="s">
        <v>65</v>
      </c>
    </row>
  </sheetData>
  <drawing r:id="rId1"/>
</worksheet>
</file>